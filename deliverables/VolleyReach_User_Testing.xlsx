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07dc9865a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5fe7246b5141fa"/>
    <x:sheet xmlns:r="http://schemas.openxmlformats.org/officeDocument/2006/relationships" name="Responses" sheetId="2" r:id="R43bc7b9e5a9a458a"/>
    <x:sheet xmlns:r="http://schemas.openxmlformats.org/officeDocument/2006/relationships" name="Form Questions" sheetId="3" r:id="R6236e3a8f70d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yyyy-mm-dd hh:mm"/>
  </x:numFmts>
  <x:fonts count="7">
    <x:font>
      <x:sz val="11"/>
      <x:name val="Carlito"/>
    </x:font>
    <x:font>
      <x:sz val="10"/>
      <x:color rgb="FF17201D"/>
      <x:name val="Arial"/>
    </x:font>
    <x:font>
      <x:b/>
      <x:sz val="22"/>
      <x:color rgb="FFFFFFFF"/>
      <x:name val="Arial"/>
    </x:font>
    <x:font>
      <x:sz val="10"/>
      <x:color rgb="FF12372E"/>
      <x:name val="Arial"/>
    </x:font>
    <x:font>
      <x:b/>
      <x:sz val="10"/>
      <x:color rgb="FFFFFFFF"/>
      <x:name val="Arial"/>
    </x:font>
    <x:font>
      <x:b/>
      <x:sz val="10"/>
      <x:color rgb="FF12372E"/>
      <x:name val="Arial"/>
    </x:font>
    <x:font>
      <x:b/>
      <x:sz val="10"/>
      <x:color rgb="FFE66449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2372E"/>
      </x:patternFill>
    </x:fill>
    <x:fill>
      <x:patternFill patternType="solid">
        <x:fgColor rgb="FFE1EEE8"/>
      </x:patternFill>
    </x:fill>
    <x:fill>
      <x:patternFill patternType="solid">
        <x:fgColor rgb="FFE66449"/>
      </x:patternFill>
    </x:fill>
    <x:fill>
      <x:patternFill patternType="solid">
        <x:fgColor rgb="FFFFFFFF"/>
      </x:patternFill>
    </x:fill>
    <x:fill>
      <x:patternFill patternType="solid">
        <x:fgColor rgb="FFF4F5F1"/>
      </x:patternFill>
    </x:fill>
    <x:fill>
      <x:patternFill patternType="solid">
        <x:fgColor rgb="FF668FA8"/>
      </x:patternFill>
    </x:fill>
    <x:fill>
      <x:patternFill patternType="solid">
        <x:fgColor rgb="FFE5EEF3"/>
      </x:patternFill>
    </x:fill>
    <x:fill>
      <x:patternFill patternType="solid">
        <x:fgColor rgb="FF205848"/>
      </x:patternFill>
    </x:fill>
  </x:fills>
  <x:borders count="2">
    <x:border/>
    <x:border>
      <x:left style="thin">
        <x:color rgb="FFDCE2DD"/>
      </x:left>
      <x:right style="thin">
        <x:color rgb="FFDCE2DD"/>
      </x:right>
      <x:top style="thin">
        <x:color rgb="FFDCE2DD"/>
      </x:top>
      <x:bottom style="thin">
        <x:color rgb="FFDCE2DD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0" borderId="1" xfId="0" applyNumberFormat="1" applyFont="1" applyFill="1" applyBorder="1"/>
    <x:xf numFmtId="0" fontId="1" fillId="5" borderId="1" xfId="0" applyNumberFormat="1" applyFont="1" applyFill="1" applyBorder="1"/>
    <x:xf numFmtId="0" fontId="1" fillId="6" borderId="1" xfId="0" applyNumberFormat="1" applyFont="1" applyFill="1" applyBorder="1"/>
    <x:xf numFmtId="0" fontId="5" fillId="6" borderId="1" xfId="0" applyNumberFormat="1" applyFont="1" applyFill="1" applyBorder="1"/>
    <x:xf numFmtId="200" fontId="5" fillId="6" borderId="1" xfId="0" applyNumberFormat="1" applyFont="1" applyFill="1" applyBorder="1"/>
    <x:xf numFmtId="201" fontId="5" fillId="6" borderId="1" xfId="0" applyNumberFormat="1" applyFont="1" applyFill="1" applyBorder="1"/>
    <x:xf numFmtId="0" fontId="1" fillId="7" borderId="0" xfId="0" applyNumberFormat="1" applyFont="1" applyFill="1" applyBorder="1"/>
    <x:xf numFmtId="0" fontId="4" fillId="7" borderId="0" xfId="0" applyNumberFormat="1" applyFont="1" applyFill="1" applyBorder="1"/>
    <x:xf numFmtId="0" fontId="1" fillId="8" borderId="1" xfId="0" applyNumberFormat="1" applyFont="1" applyFill="1" applyBorder="1"/>
    <x:xf numFmtId="0" fontId="5" fillId="8" borderId="1" xfId="0" applyNumberFormat="1" applyFont="1" applyFill="1" applyBorder="1"/>
    <x:xf numFmtId="0" fontId="1" fillId="9" borderId="0" xfId="0" applyNumberFormat="1" applyFont="1" applyFill="1" applyBorder="1"/>
    <x:xf numFmtId="0" fontId="4" fillId="9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202" fontId="1" fillId="5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106cc8020647ef" /><Relationship Type="http://schemas.openxmlformats.org/officeDocument/2006/relationships/theme" Target="/xl/theme/theme1.xml" Id="R020ef5e813454845" /><Relationship Type="http://schemas.openxmlformats.org/officeDocument/2006/relationships/sharedStrings" Target="/xl/sharedStrings.xml" Id="Rb44ccc8dd7ba4460" /><Relationship Type="http://schemas.openxmlformats.org/officeDocument/2006/relationships/worksheet" Target="/xl/worksheets/sheet1.xml" Id="R5b5fe7246b5141fa" /><Relationship Type="http://schemas.openxmlformats.org/officeDocument/2006/relationships/worksheet" Target="/xl/worksheets/sheet2.xml" Id="R43bc7b9e5a9a458a" /><Relationship Type="http://schemas.openxmlformats.org/officeDocument/2006/relationships/worksheet" Target="/xl/worksheets/sheet3.xml" Id="R6236e3a8f70d46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3" hidden="0" customWidth="1"/>
    <x:col min="4" max="4" width="27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4" t="str">
        <x:v>VolleyReach User Testing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1"/>
      <x:c r="J2" s="1"/>
      <x:c r="K2" s="1"/>
      <x:c r="L2" s="1"/>
      <x:c r="M2" s="1"/>
      <x:c r="N2" s="1"/>
      <x:c r="O2" s="1"/>
      <x:c r="P2" s="1"/>
      <x:c r="Q2" s="1"/>
    </x:row>
    <x:row r="3" ht="22" customHeight="1">
      <x:c r="A3" s="7" t="str">
        <x:v>Live results summary for the first athlete and coach pilot</x:v>
      </x:c>
      <x:c r="B3" s="7"/>
      <x:c r="C3" s="7"/>
      <x:c r="D3" s="7"/>
      <x:c r="E3" s="7"/>
      <x:c r="F3" s="7"/>
      <x:c r="G3" s="7"/>
      <x:c r="H3" s="7"/>
      <x:c r="I3" s="1"/>
      <x:c r="J3" s="1"/>
      <x:c r="K3" s="1"/>
      <x:c r="L3" s="1"/>
      <x:c r="M3" s="1"/>
      <x:c r="N3" s="1"/>
      <x:c r="O3" s="1"/>
      <x:c r="P3" s="1"/>
      <x:c r="Q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2" customHeight="1">
      <x:c r="A5" s="9" t="str">
        <x:v>Pilot metric</x:v>
      </x:c>
      <x:c r="B5" s="9" t="str">
        <x:v>Current result</x:v>
      </x:c>
      <x:c r="C5" s="1"/>
      <x:c r="D5" s="17" t="str">
        <x:v>Most useful feature</x:v>
      </x:c>
      <x:c r="E5" s="17" t="str">
        <x:v>Selections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2" customHeight="1">
      <x:c r="A6" s="11" t="str">
        <x:v>Responses</x:v>
      </x:c>
      <x:c r="B6" s="13" t="n">
        <x:f>COUNTA(Responses!A2:A101)</x:f>
        <x:v>0</x:v>
      </x:c>
      <x:c r="C6" s="1"/>
      <x:c r="D6" s="11" t="str">
        <x:v>My Profile</x:v>
      </x:c>
      <x:c r="E6" s="19" t="n">
        <x:f>COUNTIFS(Responses!J$2:J$101,D6)</x:f>
        <x:v>0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2" customHeight="1">
      <x:c r="A7" s="11" t="str">
        <x:v>Average task completion</x:v>
      </x:c>
      <x:c r="B7" s="14" t="str">
        <x:f>IF(B6=0,"n.a.",AVERAGE(Responses!P2:P101)/3)</x:f>
        <x:v>n.a.</x:v>
      </x:c>
      <x:c r="C7" s="1"/>
      <x:c r="D7" s="11" t="str">
        <x:v>Find Schools</x:v>
      </x:c>
      <x:c r="E7" s="19" t="n">
        <x:f>COUNTIFS(Responses!J$2:J$101,D7)</x:f>
        <x:v>0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2" customHeight="1">
      <x:c r="A8" s="11" t="str">
        <x:v>Navigation ease (1-5)</x:v>
      </x:c>
      <x:c r="B8" s="15" t="str">
        <x:f>IF(B6=0,"n.a.",AVERAGE(Responses!H2:H101))</x:f>
        <x:v>n.a.</x:v>
      </x:c>
      <x:c r="C8" s="1"/>
      <x:c r="D8" s="11" t="str">
        <x:v>College Directory</x:v>
      </x:c>
      <x:c r="E8" s="19" t="n">
        <x:f>COUNTIFS(Responses!J$2:J$101,D8)</x:f>
        <x:v>0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2" customHeight="1">
      <x:c r="A9" s="11" t="str">
        <x:v>Professional appearance (1-5)</x:v>
      </x:c>
      <x:c r="B9" s="15" t="str">
        <x:f>IF(B6=0,"n.a.",AVERAGE(Responses!I2:I101))</x:f>
        <x:v>n.a.</x:v>
      </x:c>
      <x:c r="C9" s="1"/>
      <x:c r="D9" s="11" t="str">
        <x:v>Email Builder</x:v>
      </x:c>
      <x:c r="E9" s="19" t="n">
        <x:f>COUNTIFS(Responses!J$2:J$101,D9)</x:f>
        <x:v>0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2" customHeight="1">
      <x:c r="A10" s="11" t="str">
        <x:v>Confidence contacting coaches (1-5)</x:v>
      </x:c>
      <x:c r="B10" s="15" t="str">
        <x:f>IF(B6=0,"n.a.",AVERAGE(Responses!K2:K101))</x:f>
        <x:v>n.a.</x:v>
      </x:c>
      <x:c r="C10" s="1"/>
      <x:c r="D10" s="11" t="str">
        <x:v>Outreach Tracker</x:v>
      </x:c>
      <x:c r="E10" s="19" t="n">
        <x:f>COUNTIFS(Responses!J$2:J$101,D10)</x:f>
        <x:v>0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2" customHeight="1">
      <x:c r="A11" s="11" t="str">
        <x:v>Likelihood of weekly use (1-5)</x:v>
      </x:c>
      <x:c r="B11" s="15" t="str">
        <x:f>IF(B6=0,"n.a.",AVERAGE(Responses!L2:L101))</x:f>
        <x:v>n.a.</x:v>
      </x:c>
      <x:c r="C11" s="1"/>
      <x:c r="D11" s="11" t="str">
        <x:v>Jump Test</x:v>
      </x:c>
      <x:c r="E11" s="19" t="n">
        <x:f>COUNTIFS(Responses!J$2:J$101,D11)</x:f>
        <x:v>0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2" customHeight="1">
      <x:c r="A12" s="11" t="str">
        <x:v>Recommendation score (0-10)</x:v>
      </x:c>
      <x:c r="B12" s="15" t="str">
        <x:f>IF(B6=0,"n.a.",AVERAGE(Responses!M2:M101))</x:f>
        <x:v>n.a.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2" customHeight="1">
      <x:c r="A13" s="11" t="str">
        <x:v>Net recommendation score</x:v>
      </x:c>
      <x:c r="B13" s="14" t="str">
        <x:f>IF(B6=0,"n.a.",(COUNTIFS(Responses!M2:M101,"&gt;=9")-COUNTIFS(Responses!M2:M101,"&lt;=6"))/B6)</x:f>
        <x:v>n.a.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2" customHeight="1">
      <x:c r="A15" s="21" t="str">
        <x:v>How to use this workbook</x:v>
      </x:c>
      <x:c r="B15" s="21"/>
      <x:c r="C15" s="21"/>
      <x:c r="D15" s="21"/>
      <x:c r="E15" s="21"/>
      <x:c r="F15" s="21"/>
      <x:c r="G15" s="21"/>
      <x:c r="H15" s="2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30" customHeight="1">
      <x:c r="A16" s="23" t="str">
        <x:v>Use the Form Questions tab to build the Google Form. Paste or enter each submission into Responses. The Summary updates automatically. Review the written feedback after every 5 testers and log the product changes you make before recording the post-testing walkthrough.</x:v>
      </x:c>
      <x:c r="B16" s="23"/>
      <x:c r="C16" s="23"/>
      <x:c r="D16" s="23"/>
      <x:c r="E16" s="23"/>
      <x:c r="F16" s="23"/>
      <x:c r="G16" s="23"/>
      <x:c r="H16" s="23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30" customHeight="1">
      <x:c r="A17" s="23"/>
      <x:c r="B17" s="23"/>
      <x:c r="C17" s="23"/>
      <x:c r="D17" s="23"/>
      <x:c r="E17" s="23"/>
      <x:c r="F17" s="23"/>
      <x:c r="G17" s="23"/>
      <x:c r="H17" s="23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30" customHeight="1">
      <x:c r="A18" s="23"/>
      <x:c r="B18" s="23"/>
      <x:c r="C18" s="23"/>
      <x:c r="D18" s="23"/>
      <x:c r="E18" s="23"/>
      <x:c r="F18" s="23"/>
      <x:c r="G18" s="23"/>
      <x:c r="H18" s="23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</x:sheetData>
  <x:mergeCells>
    <x:mergeCell ref="A1:H2"/>
    <x:mergeCell ref="A3:H3"/>
    <x:mergeCell ref="A15:H15"/>
    <x:mergeCell ref="A16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1" hidden="0" customWidth="1"/>
    <x:col min="3" max="3" width="16" hidden="0" customWidth="1"/>
    <x:col min="4" max="4" width="16" hidden="0" customWidth="1"/>
    <x:col min="5" max="5" width="21" hidden="0" customWidth="1"/>
    <x:col min="6" max="6" width="21" hidden="0" customWidth="1"/>
    <x:col min="7" max="7" width="21" hidden="0" customWidth="1"/>
    <x:col min="8" max="8" width="20" hidden="0" customWidth="1"/>
    <x:col min="9" max="9" width="20" hidden="0" customWidth="1"/>
    <x:col min="10" max="10" width="22" hidden="0" customWidth="1"/>
    <x:col min="11" max="11" width="24" hidden="0" customWidth="1"/>
    <x:col min="12" max="12" width="24" hidden="0" customWidth="1"/>
    <x:col min="13" max="13" width="24" hidden="0" customWidth="1"/>
    <x:col min="14" max="14" width="42" hidden="0" customWidth="1"/>
    <x:col min="15" max="15" width="42" hidden="0" customWidth="1"/>
    <x:col min="16" max="16" width="18" hidden="0" customWidth="1"/>
  </x:cols>
  <x:sheetData>
    <x:row r="1" ht="42" customHeight="1">
      <x:c r="A1" s="26" t="str">
        <x:v>Timestamp</x:v>
      </x:c>
      <x:c r="B1" s="26" t="str">
        <x:v>Tester role</x:v>
      </x:c>
      <x:c r="C1" s="26" t="str">
        <x:v>Graduation year</x:v>
      </x:c>
      <x:c r="D1" s="26" t="str">
        <x:v>Device</x:v>
      </x:c>
      <x:c r="E1" s="26" t="str">
        <x:v>Completed profile</x:v>
      </x:c>
      <x:c r="F1" s="26" t="str">
        <x:v>Found a relevant school</x:v>
      </x:c>
      <x:c r="G1" s="26" t="str">
        <x:v>Built a coach email</x:v>
      </x:c>
      <x:c r="H1" s="26" t="str">
        <x:v>Navigation ease</x:v>
      </x:c>
      <x:c r="I1" s="26" t="str">
        <x:v>Professional appearance</x:v>
      </x:c>
      <x:c r="J1" s="26" t="str">
        <x:v>Most useful feature</x:v>
      </x:c>
      <x:c r="K1" s="26" t="str">
        <x:v>Confidence contacting coaches</x:v>
      </x:c>
      <x:c r="L1" s="26" t="str">
        <x:v>Likelihood of weekly use</x:v>
      </x:c>
      <x:c r="M1" s="26" t="str">
        <x:v>Recommend to another athlete</x:v>
      </x:c>
      <x:c r="N1" s="26" t="str">
        <x:v>What was confusing?</x:v>
      </x:c>
      <x:c r="O1" s="26" t="str">
        <x:v>One improvement</x:v>
      </x:c>
      <x:c r="P1" s="26" t="str">
        <x:v>Tasks completed</x:v>
      </x:c>
      <x:c r="Q1" s="1"/>
    </x:row>
    <x:row r="2" ht="21" customHeight="1">
      <x:c r="A2" s="27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 t="n">
        <x:f>COUNTIFS(E2:G2,"Yes")</x:f>
        <x:v>0</x:v>
      </x:c>
      <x:c r="Q2" s="1"/>
    </x:row>
    <x:row r="3" ht="21" customHeight="1">
      <x:c r="A3" s="27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 t="n">
        <x:f>COUNTIFS(E3:G3,"Yes")</x:f>
        <x:v>0</x:v>
      </x:c>
      <x:c r="Q3" s="1"/>
    </x:row>
    <x:row r="4" ht="21" customHeight="1">
      <x:c r="A4" s="27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 t="n">
        <x:f>COUNTIFS(E4:G4,"Yes")</x:f>
        <x:v>0</x:v>
      </x:c>
      <x:c r="Q4" s="1"/>
    </x:row>
    <x:row r="5" ht="21" customHeight="1">
      <x:c r="A5" s="27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 t="n">
        <x:f>COUNTIFS(E5:G5,"Yes")</x:f>
        <x:v>0</x:v>
      </x:c>
      <x:c r="Q5" s="1"/>
    </x:row>
    <x:row r="6" ht="21" customHeight="1">
      <x:c r="A6" s="27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 t="n">
        <x:f>COUNTIFS(E6:G6,"Yes")</x:f>
        <x:v>0</x:v>
      </x:c>
      <x:c r="Q6" s="1"/>
    </x:row>
    <x:row r="7" ht="21" customHeight="1">
      <x:c r="A7" s="27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 t="n">
        <x:f>COUNTIFS(E7:G7,"Yes")</x:f>
        <x:v>0</x:v>
      </x:c>
      <x:c r="Q7" s="1"/>
    </x:row>
    <x:row r="8" ht="21" customHeight="1">
      <x:c r="A8" s="27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 t="n">
        <x:f>COUNTIFS(E8:G8,"Yes")</x:f>
        <x:v>0</x:v>
      </x:c>
      <x:c r="Q8" s="1"/>
    </x:row>
    <x:row r="9" ht="21" customHeight="1">
      <x:c r="A9" s="27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 t="n">
        <x:f>COUNTIFS(E9:G9,"Yes")</x:f>
        <x:v>0</x:v>
      </x:c>
      <x:c r="Q9" s="1"/>
    </x:row>
    <x:row r="10" ht="21" customHeight="1">
      <x:c r="A10" s="27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 t="n">
        <x:f>COUNTIFS(E10:G10,"Yes")</x:f>
        <x:v>0</x:v>
      </x:c>
      <x:c r="Q10" s="1"/>
    </x:row>
    <x:row r="11" ht="21" customHeight="1">
      <x:c r="A11" s="27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 t="n">
        <x:f>COUNTIFS(E11:G11,"Yes")</x:f>
        <x:v>0</x:v>
      </x:c>
      <x:c r="Q11" s="1"/>
    </x:row>
    <x:row r="12" ht="21" customHeight="1">
      <x:c r="A12" s="27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 t="n">
        <x:f>COUNTIFS(E12:G12,"Yes")</x:f>
        <x:v>0</x:v>
      </x:c>
      <x:c r="Q12" s="1"/>
    </x:row>
    <x:row r="13" ht="21" customHeight="1">
      <x:c r="A13" s="27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 t="n">
        <x:f>COUNTIFS(E13:G13,"Yes")</x:f>
        <x:v>0</x:v>
      </x:c>
      <x:c r="Q13" s="1"/>
    </x:row>
    <x:row r="14" ht="21" customHeight="1">
      <x:c r="A14" s="27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 t="n">
        <x:f>COUNTIFS(E14:G14,"Yes")</x:f>
        <x:v>0</x:v>
      </x:c>
      <x:c r="Q14" s="1"/>
    </x:row>
    <x:row r="15" ht="21" customHeight="1">
      <x:c r="A15" s="27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 t="n">
        <x:f>COUNTIFS(E15:G15,"Yes")</x:f>
        <x:v>0</x:v>
      </x:c>
      <x:c r="Q15" s="1"/>
    </x:row>
    <x:row r="16" ht="21" customHeight="1">
      <x:c r="A16" s="27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 t="n">
        <x:f>COUNTIFS(E16:G16,"Yes")</x:f>
        <x:v>0</x:v>
      </x:c>
      <x:c r="Q16" s="1"/>
    </x:row>
    <x:row r="17" ht="21" customHeight="1">
      <x:c r="A17" s="27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 t="n">
        <x:f>COUNTIFS(E17:G17,"Yes")</x:f>
        <x:v>0</x:v>
      </x:c>
      <x:c r="Q17" s="1"/>
    </x:row>
    <x:row r="18" ht="21" customHeight="1">
      <x:c r="A18" s="27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 t="n">
        <x:f>COUNTIFS(E18:G18,"Yes")</x:f>
        <x:v>0</x:v>
      </x:c>
      <x:c r="Q18" s="1"/>
    </x:row>
    <x:row r="19" ht="21" customHeight="1">
      <x:c r="A19" s="27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 t="n">
        <x:f>COUNTIFS(E19:G19,"Yes")</x:f>
        <x:v>0</x:v>
      </x:c>
      <x:c r="Q19" s="1"/>
    </x:row>
    <x:row r="20" ht="21" customHeight="1">
      <x:c r="A20" s="27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 t="n">
        <x:f>COUNTIFS(E20:G20,"Yes")</x:f>
        <x:v>0</x:v>
      </x:c>
      <x:c r="Q20" s="1"/>
    </x:row>
    <x:row r="21" ht="21" customHeight="1">
      <x:c r="A21" s="27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 t="n">
        <x:f>COUNTIFS(E21:G21,"Yes")</x:f>
        <x:v>0</x:v>
      </x:c>
      <x:c r="Q21" s="1"/>
    </x:row>
    <x:row r="22" ht="21" customHeight="1">
      <x:c r="A22" s="27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 t="n">
        <x:f>COUNTIFS(E22:G22,"Yes")</x:f>
        <x:v>0</x:v>
      </x:c>
      <x:c r="Q22" s="1"/>
    </x:row>
    <x:row r="23" ht="21" customHeight="1">
      <x:c r="A23" s="27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 t="n">
        <x:f>COUNTIFS(E23:G23,"Yes")</x:f>
        <x:v>0</x:v>
      </x:c>
      <x:c r="Q23" s="1"/>
    </x:row>
    <x:row r="24" ht="21" customHeight="1">
      <x:c r="A24" s="27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 t="n">
        <x:f>COUNTIFS(E24:G24,"Yes")</x:f>
        <x:v>0</x:v>
      </x:c>
      <x:c r="Q24" s="1"/>
    </x:row>
    <x:row r="25" ht="21" customHeight="1">
      <x:c r="A25" s="27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 t="n">
        <x:f>COUNTIFS(E25:G25,"Yes")</x:f>
        <x:v>0</x:v>
      </x:c>
      <x:c r="Q25" s="1"/>
    </x:row>
    <x:row r="26" ht="21" customHeight="1">
      <x:c r="A26" s="27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 t="n">
        <x:f>COUNTIFS(E26:G26,"Yes")</x:f>
        <x:v>0</x:v>
      </x:c>
      <x:c r="Q26" s="1"/>
    </x:row>
    <x:row r="27" ht="21" customHeight="1">
      <x:c r="A27" s="27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 t="n">
        <x:f>COUNTIFS(E27:G27,"Yes")</x:f>
        <x:v>0</x:v>
      </x:c>
      <x:c r="Q27" s="1"/>
    </x:row>
    <x:row r="28" ht="21" customHeight="1">
      <x:c r="A28" s="27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 t="n">
        <x:f>COUNTIFS(E28:G28,"Yes")</x:f>
        <x:v>0</x:v>
      </x:c>
      <x:c r="Q28" s="1"/>
    </x:row>
    <x:row r="29" ht="21" customHeight="1">
      <x:c r="A29" s="27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 t="n">
        <x:f>COUNTIFS(E29:G29,"Yes")</x:f>
        <x:v>0</x:v>
      </x:c>
      <x:c r="Q29" s="1"/>
    </x:row>
    <x:row r="30" ht="21" customHeight="1">
      <x:c r="A30" s="27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 t="n">
        <x:f>COUNTIFS(E30:G30,"Yes")</x:f>
        <x:v>0</x:v>
      </x:c>
      <x:c r="Q30" s="1"/>
    </x:row>
    <x:row r="31" ht="21" customHeight="1">
      <x:c r="A31" s="27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 t="n">
        <x:f>COUNTIFS(E31:G31,"Yes")</x:f>
        <x:v>0</x:v>
      </x:c>
      <x:c r="Q31" s="1"/>
    </x:row>
    <x:row r="32" ht="21" customHeight="1">
      <x:c r="A32" s="27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 t="n">
        <x:f>COUNTIFS(E32:G32,"Yes")</x:f>
        <x:v>0</x:v>
      </x:c>
      <x:c r="Q32" s="1"/>
    </x:row>
    <x:row r="33" ht="21" customHeight="1">
      <x:c r="A33" s="27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 t="n">
        <x:f>COUNTIFS(E33:G33,"Yes")</x:f>
        <x:v>0</x:v>
      </x:c>
      <x:c r="Q33" s="1"/>
    </x:row>
    <x:row r="34" ht="21" customHeight="1">
      <x:c r="A34" s="27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 t="n">
        <x:f>COUNTIFS(E34:G34,"Yes")</x:f>
        <x:v>0</x:v>
      </x:c>
      <x:c r="Q34" s="1"/>
    </x:row>
    <x:row r="35" ht="21" customHeight="1">
      <x:c r="A35" s="27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 t="n">
        <x:f>COUNTIFS(E35:G35,"Yes")</x:f>
        <x:v>0</x:v>
      </x:c>
      <x:c r="Q35" s="1"/>
    </x:row>
    <x:row r="36" ht="21" customHeight="1">
      <x:c r="A36" s="27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 t="n">
        <x:f>COUNTIFS(E36:G36,"Yes")</x:f>
        <x:v>0</x:v>
      </x:c>
      <x:c r="Q36" s="1"/>
    </x:row>
    <x:row r="37" ht="21" customHeight="1">
      <x:c r="A37" s="27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 t="n">
        <x:f>COUNTIFS(E37:G37,"Yes")</x:f>
        <x:v>0</x:v>
      </x:c>
      <x:c r="Q37" s="1"/>
    </x:row>
    <x:row r="38" ht="21" customHeight="1">
      <x:c r="A38" s="27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 t="n">
        <x:f>COUNTIFS(E38:G38,"Yes")</x:f>
        <x:v>0</x:v>
      </x:c>
      <x:c r="Q38" s="1"/>
    </x:row>
    <x:row r="39" ht="21" customHeight="1">
      <x:c r="A39" s="27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 t="n">
        <x:f>COUNTIFS(E39:G39,"Yes")</x:f>
        <x:v>0</x:v>
      </x:c>
      <x:c r="Q39" s="1"/>
    </x:row>
    <x:row r="40" ht="21" customHeight="1">
      <x:c r="A40" s="27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 t="n">
        <x:f>COUNTIFS(E40:G40,"Yes")</x:f>
        <x:v>0</x:v>
      </x:c>
      <x:c r="Q40" s="1"/>
    </x:row>
    <x:row r="41" ht="21" customHeight="1">
      <x:c r="A41" s="27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 t="n">
        <x:f>COUNTIFS(E41:G41,"Yes")</x:f>
        <x:v>0</x:v>
      </x:c>
      <x:c r="Q41" s="1"/>
    </x:row>
    <x:row r="42" ht="21" customHeight="1">
      <x:c r="A42" s="27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 t="n">
        <x:f>COUNTIFS(E42:G42,"Yes")</x:f>
        <x:v>0</x:v>
      </x:c>
      <x:c r="Q42" s="1"/>
    </x:row>
    <x:row r="43" ht="21" customHeight="1">
      <x:c r="A43" s="27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 t="n">
        <x:f>COUNTIFS(E43:G43,"Yes")</x:f>
        <x:v>0</x:v>
      </x:c>
      <x:c r="Q43" s="1"/>
    </x:row>
    <x:row r="44" ht="21" customHeight="1">
      <x:c r="A44" s="27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 t="n">
        <x:f>COUNTIFS(E44:G44,"Yes")</x:f>
        <x:v>0</x:v>
      </x:c>
      <x:c r="Q44" s="1"/>
    </x:row>
    <x:row r="45" ht="21" customHeight="1">
      <x:c r="A45" s="27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 t="n">
        <x:f>COUNTIFS(E45:G45,"Yes")</x:f>
        <x:v>0</x:v>
      </x:c>
      <x:c r="Q45" s="1"/>
    </x:row>
    <x:row r="46" ht="21" customHeight="1">
      <x:c r="A46" s="27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 t="n">
        <x:f>COUNTIFS(E46:G46,"Yes")</x:f>
        <x:v>0</x:v>
      </x:c>
      <x:c r="Q46" s="1"/>
    </x:row>
    <x:row r="47" ht="21" customHeight="1">
      <x:c r="A47" s="27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 t="n">
        <x:f>COUNTIFS(E47:G47,"Yes")</x:f>
        <x:v>0</x:v>
      </x:c>
      <x:c r="Q47" s="1"/>
    </x:row>
    <x:row r="48" ht="21" customHeight="1">
      <x:c r="A48" s="27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 t="n">
        <x:f>COUNTIFS(E48:G48,"Yes")</x:f>
        <x:v>0</x:v>
      </x:c>
      <x:c r="Q48" s="1"/>
    </x:row>
    <x:row r="49" ht="21" customHeight="1">
      <x:c r="A49" s="27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 t="n">
        <x:f>COUNTIFS(E49:G49,"Yes")</x:f>
        <x:v>0</x:v>
      </x:c>
      <x:c r="Q49" s="1"/>
    </x:row>
    <x:row r="50" ht="21" customHeight="1">
      <x:c r="A50" s="27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 t="n">
        <x:f>COUNTIFS(E50:G50,"Yes")</x:f>
        <x:v>0</x:v>
      </x:c>
      <x:c r="Q50" s="1"/>
    </x:row>
    <x:row r="51" ht="21" customHeight="1">
      <x:c r="A51" s="27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 t="n">
        <x:f>COUNTIFS(E51:G51,"Yes")</x:f>
        <x:v>0</x:v>
      </x:c>
      <x:c r="Q51" s="1"/>
    </x:row>
    <x:row r="52" ht="21" customHeight="1">
      <x:c r="A52" s="27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 t="n">
        <x:f>COUNTIFS(E52:G52,"Yes")</x:f>
        <x:v>0</x:v>
      </x:c>
      <x:c r="Q52" s="1"/>
    </x:row>
    <x:row r="53" ht="21" customHeight="1">
      <x:c r="A53" s="27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 t="n">
        <x:f>COUNTIFS(E53:G53,"Yes")</x:f>
        <x:v>0</x:v>
      </x:c>
      <x:c r="Q53" s="1"/>
    </x:row>
    <x:row r="54" ht="21" customHeight="1">
      <x:c r="A54" s="27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 t="n">
        <x:f>COUNTIFS(E54:G54,"Yes")</x:f>
        <x:v>0</x:v>
      </x:c>
      <x:c r="Q54" s="1"/>
    </x:row>
    <x:row r="55" ht="21" customHeight="1">
      <x:c r="A55" s="27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 t="n">
        <x:f>COUNTIFS(E55:G55,"Yes")</x:f>
        <x:v>0</x:v>
      </x:c>
      <x:c r="Q55" s="1"/>
    </x:row>
    <x:row r="56" ht="21" customHeight="1">
      <x:c r="A56" s="27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 t="n">
        <x:f>COUNTIFS(E56:G56,"Yes")</x:f>
        <x:v>0</x:v>
      </x:c>
      <x:c r="Q56" s="1"/>
    </x:row>
    <x:row r="57" ht="21" customHeight="1">
      <x:c r="A57" s="27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 t="n">
        <x:f>COUNTIFS(E57:G57,"Yes")</x:f>
        <x:v>0</x:v>
      </x:c>
      <x:c r="Q57" s="1"/>
    </x:row>
    <x:row r="58" ht="21" customHeight="1">
      <x:c r="A58" s="27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 t="n">
        <x:f>COUNTIFS(E58:G58,"Yes")</x:f>
        <x:v>0</x:v>
      </x:c>
      <x:c r="Q58" s="1"/>
    </x:row>
    <x:row r="59" ht="21" customHeight="1">
      <x:c r="A59" s="27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 t="n">
        <x:f>COUNTIFS(E59:G59,"Yes")</x:f>
        <x:v>0</x:v>
      </x:c>
      <x:c r="Q59" s="1"/>
    </x:row>
    <x:row r="60" ht="21" customHeight="1">
      <x:c r="A60" s="27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 t="n">
        <x:f>COUNTIFS(E60:G60,"Yes")</x:f>
        <x:v>0</x:v>
      </x:c>
      <x:c r="Q60" s="1"/>
    </x:row>
    <x:row r="61" ht="21" customHeight="1">
      <x:c r="A61" s="27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 t="n">
        <x:f>COUNTIFS(E61:G61,"Yes")</x:f>
        <x:v>0</x:v>
      </x:c>
      <x:c r="Q61" s="1"/>
    </x:row>
    <x:row r="62" ht="21" customHeight="1">
      <x:c r="A62" s="27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 t="n">
        <x:f>COUNTIFS(E62:G62,"Yes")</x:f>
        <x:v>0</x:v>
      </x:c>
      <x:c r="Q62" s="1"/>
    </x:row>
    <x:row r="63" ht="21" customHeight="1">
      <x:c r="A63" s="27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 t="n">
        <x:f>COUNTIFS(E63:G63,"Yes")</x:f>
        <x:v>0</x:v>
      </x:c>
      <x:c r="Q63" s="1"/>
    </x:row>
    <x:row r="64" ht="21" customHeight="1">
      <x:c r="A64" s="27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 t="n">
        <x:f>COUNTIFS(E64:G64,"Yes")</x:f>
        <x:v>0</x:v>
      </x:c>
      <x:c r="Q64" s="1"/>
    </x:row>
    <x:row r="65" ht="21" customHeight="1">
      <x:c r="A65" s="27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 t="n">
        <x:f>COUNTIFS(E65:G65,"Yes")</x:f>
        <x:v>0</x:v>
      </x:c>
      <x:c r="Q65" s="1"/>
    </x:row>
    <x:row r="66" ht="21" customHeight="1">
      <x:c r="A66" s="27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 t="n">
        <x:f>COUNTIFS(E66:G66,"Yes")</x:f>
        <x:v>0</x:v>
      </x:c>
      <x:c r="Q66" s="1"/>
    </x:row>
    <x:row r="67" ht="21" customHeight="1">
      <x:c r="A67" s="27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 t="n">
        <x:f>COUNTIFS(E67:G67,"Yes")</x:f>
        <x:v>0</x:v>
      </x:c>
      <x:c r="Q67" s="1"/>
    </x:row>
    <x:row r="68" ht="21" customHeight="1">
      <x:c r="A68" s="27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 t="n">
        <x:f>COUNTIFS(E68:G68,"Yes")</x:f>
        <x:v>0</x:v>
      </x:c>
      <x:c r="Q68" s="1"/>
    </x:row>
    <x:row r="69" ht="21" customHeight="1">
      <x:c r="A69" s="27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 t="n">
        <x:f>COUNTIFS(E69:G69,"Yes")</x:f>
        <x:v>0</x:v>
      </x:c>
      <x:c r="Q69" s="1"/>
    </x:row>
    <x:row r="70" ht="21" customHeight="1">
      <x:c r="A70" s="27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 t="n">
        <x:f>COUNTIFS(E70:G70,"Yes")</x:f>
        <x:v>0</x:v>
      </x:c>
      <x:c r="Q70" s="1"/>
    </x:row>
    <x:row r="71" ht="21" customHeight="1">
      <x:c r="A71" s="27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 t="n">
        <x:f>COUNTIFS(E71:G71,"Yes")</x:f>
        <x:v>0</x:v>
      </x:c>
      <x:c r="Q71" s="1"/>
    </x:row>
    <x:row r="72" ht="21" customHeight="1">
      <x:c r="A72" s="27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 t="n">
        <x:f>COUNTIFS(E72:G72,"Yes")</x:f>
        <x:v>0</x:v>
      </x:c>
      <x:c r="Q72" s="1"/>
    </x:row>
    <x:row r="73" ht="21" customHeight="1">
      <x:c r="A73" s="27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 t="n">
        <x:f>COUNTIFS(E73:G73,"Yes")</x:f>
        <x:v>0</x:v>
      </x:c>
      <x:c r="Q73" s="1"/>
    </x:row>
    <x:row r="74" ht="21" customHeight="1">
      <x:c r="A74" s="27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 t="n">
        <x:f>COUNTIFS(E74:G74,"Yes")</x:f>
        <x:v>0</x:v>
      </x:c>
      <x:c r="Q74" s="1"/>
    </x:row>
    <x:row r="75" ht="21" customHeight="1">
      <x:c r="A75" s="27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 t="n">
        <x:f>COUNTIFS(E75:G75,"Yes")</x:f>
        <x:v>0</x:v>
      </x:c>
      <x:c r="Q75" s="1"/>
    </x:row>
    <x:row r="76" ht="21" customHeight="1">
      <x:c r="A76" s="27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 t="n">
        <x:f>COUNTIFS(E76:G76,"Yes")</x:f>
        <x:v>0</x:v>
      </x:c>
      <x:c r="Q76" s="1"/>
    </x:row>
    <x:row r="77" ht="21" customHeight="1">
      <x:c r="A77" s="27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 t="n">
        <x:f>COUNTIFS(E77:G77,"Yes")</x:f>
        <x:v>0</x:v>
      </x:c>
      <x:c r="Q77" s="1"/>
    </x:row>
    <x:row r="78" ht="21" customHeight="1">
      <x:c r="A78" s="27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 t="n">
        <x:f>COUNTIFS(E78:G78,"Yes")</x:f>
        <x:v>0</x:v>
      </x:c>
      <x:c r="Q78" s="1"/>
    </x:row>
    <x:row r="79" ht="21" customHeight="1">
      <x:c r="A79" s="27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 t="n">
        <x:f>COUNTIFS(E79:G79,"Yes")</x:f>
        <x:v>0</x:v>
      </x:c>
      <x:c r="Q79" s="1"/>
    </x:row>
    <x:row r="80" ht="21" customHeight="1">
      <x:c r="A80" s="27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 t="n">
        <x:f>COUNTIFS(E80:G80,"Yes")</x:f>
        <x:v>0</x:v>
      </x:c>
      <x:c r="Q80" s="1"/>
    </x:row>
    <x:row r="81" ht="21" customHeight="1">
      <x:c r="A81" s="27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 t="n">
        <x:f>COUNTIFS(E81:G81,"Yes")</x:f>
        <x:v>0</x:v>
      </x:c>
      <x:c r="Q81" s="1"/>
    </x:row>
    <x:row r="82" ht="21" customHeight="1">
      <x:c r="A82" s="27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 t="n">
        <x:f>COUNTIFS(E82:G82,"Yes")</x:f>
        <x:v>0</x:v>
      </x:c>
      <x:c r="Q82" s="1"/>
    </x:row>
    <x:row r="83" ht="21" customHeight="1">
      <x:c r="A83" s="27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 t="n">
        <x:f>COUNTIFS(E83:G83,"Yes")</x:f>
        <x:v>0</x:v>
      </x:c>
      <x:c r="Q83" s="1"/>
    </x:row>
    <x:row r="84" ht="21" customHeight="1">
      <x:c r="A84" s="27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 t="n">
        <x:f>COUNTIFS(E84:G84,"Yes")</x:f>
        <x:v>0</x:v>
      </x:c>
      <x:c r="Q84" s="1"/>
    </x:row>
    <x:row r="85" ht="21" customHeight="1">
      <x:c r="A85" s="27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 t="n">
        <x:f>COUNTIFS(E85:G85,"Yes")</x:f>
        <x:v>0</x:v>
      </x:c>
      <x:c r="Q85" s="1"/>
    </x:row>
    <x:row r="86" ht="21" customHeight="1">
      <x:c r="A86" s="27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 t="n">
        <x:f>COUNTIFS(E86:G86,"Yes")</x:f>
        <x:v>0</x:v>
      </x:c>
      <x:c r="Q86" s="1"/>
    </x:row>
    <x:row r="87" ht="21" customHeight="1">
      <x:c r="A87" s="27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 t="n">
        <x:f>COUNTIFS(E87:G87,"Yes")</x:f>
        <x:v>0</x:v>
      </x:c>
      <x:c r="Q87" s="1"/>
    </x:row>
    <x:row r="88" ht="21" customHeight="1">
      <x:c r="A88" s="27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 t="n">
        <x:f>COUNTIFS(E88:G88,"Yes")</x:f>
        <x:v>0</x:v>
      </x:c>
      <x:c r="Q88" s="1"/>
    </x:row>
    <x:row r="89" ht="21" customHeight="1">
      <x:c r="A89" s="27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 t="n">
        <x:f>COUNTIFS(E89:G89,"Yes")</x:f>
        <x:v>0</x:v>
      </x:c>
      <x:c r="Q89" s="1"/>
    </x:row>
    <x:row r="90" ht="21" customHeight="1">
      <x:c r="A90" s="27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 t="n">
        <x:f>COUNTIFS(E90:G90,"Yes")</x:f>
        <x:v>0</x:v>
      </x:c>
      <x:c r="Q90" s="1"/>
    </x:row>
    <x:row r="91" ht="21" customHeight="1">
      <x:c r="A91" s="27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 t="n">
        <x:f>COUNTIFS(E91:G91,"Yes")</x:f>
        <x:v>0</x:v>
      </x:c>
      <x:c r="Q91" s="1"/>
    </x:row>
    <x:row r="92" ht="21" customHeight="1">
      <x:c r="A92" s="27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 t="n">
        <x:f>COUNTIFS(E92:G92,"Yes")</x:f>
        <x:v>0</x:v>
      </x:c>
      <x:c r="Q92" s="1"/>
    </x:row>
    <x:row r="93" ht="21" customHeight="1">
      <x:c r="A93" s="27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 t="n">
        <x:f>COUNTIFS(E93:G93,"Yes")</x:f>
        <x:v>0</x:v>
      </x:c>
      <x:c r="Q93" s="1"/>
    </x:row>
    <x:row r="94" ht="21" customHeight="1">
      <x:c r="A94" s="27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 t="n">
        <x:f>COUNTIFS(E94:G94,"Yes")</x:f>
        <x:v>0</x:v>
      </x:c>
      <x:c r="Q94" s="1"/>
    </x:row>
    <x:row r="95" ht="21" customHeight="1">
      <x:c r="A95" s="27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 t="n">
        <x:f>COUNTIFS(E95:G95,"Yes")</x:f>
        <x:v>0</x:v>
      </x:c>
      <x:c r="Q95" s="1"/>
    </x:row>
    <x:row r="96" ht="21" customHeight="1">
      <x:c r="A96" s="27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 t="n">
        <x:f>COUNTIFS(E96:G96,"Yes")</x:f>
        <x:v>0</x:v>
      </x:c>
      <x:c r="Q96" s="1"/>
    </x:row>
    <x:row r="97" ht="21" customHeight="1">
      <x:c r="A97" s="27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 t="n">
        <x:f>COUNTIFS(E97:G97,"Yes")</x:f>
        <x:v>0</x:v>
      </x:c>
      <x:c r="Q97" s="1"/>
    </x:row>
    <x:row r="98" ht="21" customHeight="1">
      <x:c r="A98" s="27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 t="n">
        <x:f>COUNTIFS(E98:G98,"Yes")</x:f>
        <x:v>0</x:v>
      </x:c>
      <x:c r="Q98" s="1"/>
    </x:row>
    <x:row r="99" ht="21" customHeight="1">
      <x:c r="A99" s="27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 t="n">
        <x:f>COUNTIFS(E99:G99,"Yes")</x:f>
        <x:v>0</x:v>
      </x:c>
      <x:c r="Q99" s="1"/>
    </x:row>
    <x:row r="100" ht="21" customHeight="1">
      <x:c r="A100" s="27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 t="n">
        <x:f>COUNTIFS(E100:G100,"Yes")</x:f>
        <x:v>0</x:v>
      </x:c>
      <x:c r="Q100" s="1"/>
    </x:row>
    <x:row r="101" ht="21" customHeight="1">
      <x:c r="A101" s="27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 t="n">
        <x:f>COUNTIFS(E101:G101,"Yes")</x:f>
        <x:v>0</x:v>
      </x:c>
      <x:c r="Q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</x:sheetData>
  <x:dataValidations count="7">
    <x:dataValidation type="whole" operator="between" sqref="H2:I101">
      <x:formula1>1</x:formula1>
      <x:formula2>5</x:formula2>
    </x:dataValidation>
    <x:dataValidation type="whole" operator="between" sqref="K2:L101">
      <x:formula1>1</x:formula1>
      <x:formula2>5</x:formula2>
    </x:dataValidation>
    <x:dataValidation type="whole" operator="between" sqref="M2:M101">
      <x:formula1>0</x:formula1>
      <x:formula2>10</x:formula2>
    </x:dataValidation>
    <x:dataValidation type="list" sqref="B2:B101">
      <x:formula1>"High school athlete,Club coach,School coach,Parent,Other"</x:formula1>
    </x:dataValidation>
    <x:dataValidation type="list" sqref="D2:D101">
      <x:formula1>"Phone,Laptop,Tablet"</x:formula1>
    </x:dataValidation>
    <x:dataValidation type="list" sqref="E2:G101">
      <x:formula1>"Yes,No"</x:formula1>
    </x:dataValidation>
    <x:dataValidation type="list" sqref="J2:J101">
      <x:formula1>"My Profile,Find Schools,College Directory,Email Builder,Outreach Tracker,Jump Test"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8" hidden="0" customWidth="1"/>
    <x:col min="3" max="3" width="20" hidden="0" customWidth="1"/>
    <x:col min="4" max="4" width="52" hidden="0" customWidth="1"/>
    <x:col min="5" max="5" width="12" hidden="0" customWidth="1"/>
    <x:col min="6" max="6" width="28" hidden="0" customWidth="1"/>
  </x:cols>
  <x:sheetData>
    <x:row r="1" ht="36" customHeight="1">
      <x:c r="A1" s="26" t="str">
        <x:v>Section</x:v>
      </x:c>
      <x:c r="B1" s="26" t="str">
        <x:v>Question or instruction</x:v>
      </x:c>
      <x:c r="C1" s="26" t="str">
        <x:v>Response type</x:v>
      </x:c>
      <x:c r="D1" s="26" t="str">
        <x:v>Options or scale labels</x:v>
      </x:c>
      <x:c r="E1" s="26" t="str">
        <x:v>Required</x:v>
      </x:c>
      <x:c r="F1" s="26" t="str">
        <x:v>Why it matters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6" customHeight="1">
      <x:c r="A2" s="31" t="str">
        <x:v>Intro</x:v>
      </x:c>
      <x:c r="B2" s="30" t="str">
        <x:v>Please spend 5–7 minutes using VolleyReach. Complete the three tasks below before answering.</x:v>
      </x:c>
      <x:c r="C2" s="30" t="str">
        <x:v>Description</x:v>
      </x:c>
      <x:c r="D2" s="30" t="str"/>
      <x:c r="E2" s="32" t="str"/>
      <x:c r="F2" s="30" t="str">
        <x:v>Sets the test procedure</x:v>
      </x:c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36" customHeight="1">
      <x:c r="A3" s="31" t="str">
        <x:v>Tasks</x:v>
      </x:c>
      <x:c r="B3" s="30" t="str">
        <x:v>1. Complete or review an athlete profile. 2. Find one relevant college program. 3. Build a coach email.</x:v>
      </x:c>
      <x:c r="C3" s="30" t="str">
        <x:v>Description</x:v>
      </x:c>
      <x:c r="D3" s="30" t="str"/>
      <x:c r="E3" s="32" t="str"/>
      <x:c r="F3" s="30" t="str">
        <x:v>Creates comparable task evidence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6" customHeight="1">
      <x:c r="A4" s="31" t="str">
        <x:v>About you</x:v>
      </x:c>
      <x:c r="B4" s="30" t="str">
        <x:v>Which best describes you?</x:v>
      </x:c>
      <x:c r="C4" s="30" t="str">
        <x:v>Multiple choice</x:v>
      </x:c>
      <x:c r="D4" s="30" t="str">
        <x:v>High school athlete; Club coach; School coach; Parent; Other</x:v>
      </x:c>
      <x:c r="E4" s="32" t="str">
        <x:v>Yes</x:v>
      </x:c>
      <x:c r="F4" s="30" t="str">
        <x:v>Segments feedback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6" customHeight="1">
      <x:c r="A5" s="31" t="str">
        <x:v>About you</x:v>
      </x:c>
      <x:c r="B5" s="30" t="str">
        <x:v>What is your graduation year?</x:v>
      </x:c>
      <x:c r="C5" s="30" t="str">
        <x:v>Short answer</x:v>
      </x:c>
      <x:c r="D5" s="30" t="str"/>
      <x:c r="E5" s="32" t="str">
        <x:v>No</x:v>
      </x:c>
      <x:c r="F5" s="30" t="str">
        <x:v>Athlete context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6" customHeight="1">
      <x:c r="A6" s="31" t="str">
        <x:v>About you</x:v>
      </x:c>
      <x:c r="B6" s="30" t="str">
        <x:v>What device did you use?</x:v>
      </x:c>
      <x:c r="C6" s="30" t="str">
        <x:v>Multiple choice</x:v>
      </x:c>
      <x:c r="D6" s="30" t="str">
        <x:v>Phone; Laptop; Tablet</x:v>
      </x:c>
      <x:c r="E6" s="32" t="str">
        <x:v>Yes</x:v>
      </x:c>
      <x:c r="F6" s="30" t="str">
        <x:v>Finds responsive-layout issues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36" customHeight="1">
      <x:c r="A7" s="31" t="str">
        <x:v>Task check</x:v>
      </x:c>
      <x:c r="B7" s="30" t="str">
        <x:v>Were you able to complete or review the athlete profile?</x:v>
      </x:c>
      <x:c r="C7" s="30" t="str">
        <x:v>Multiple choice</x:v>
      </x:c>
      <x:c r="D7" s="30" t="str">
        <x:v>Yes; No</x:v>
      </x:c>
      <x:c r="E7" s="32" t="str">
        <x:v>Yes</x:v>
      </x:c>
      <x:c r="F7" s="30" t="str">
        <x:v>Task completion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36" customHeight="1">
      <x:c r="A8" s="31" t="str">
        <x:v>Task check</x:v>
      </x:c>
      <x:c r="B8" s="30" t="str">
        <x:v>Were you able to find at least one relevant college program?</x:v>
      </x:c>
      <x:c r="C8" s="30" t="str">
        <x:v>Multiple choice</x:v>
      </x:c>
      <x:c r="D8" s="30" t="str">
        <x:v>Yes; No</x:v>
      </x:c>
      <x:c r="E8" s="32" t="str">
        <x:v>Yes</x:v>
      </x:c>
      <x:c r="F8" s="30" t="str">
        <x:v>Task completion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36" customHeight="1">
      <x:c r="A9" s="31" t="str">
        <x:v>Task check</x:v>
      </x:c>
      <x:c r="B9" s="30" t="str">
        <x:v>Were you able to build a coach email?</x:v>
      </x:c>
      <x:c r="C9" s="30" t="str">
        <x:v>Multiple choice</x:v>
      </x:c>
      <x:c r="D9" s="30" t="str">
        <x:v>Yes; No</x:v>
      </x:c>
      <x:c r="E9" s="32" t="str">
        <x:v>Yes</x:v>
      </x:c>
      <x:c r="F9" s="30" t="str">
        <x:v>Task completion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36" customHeight="1">
      <x:c r="A10" s="31" t="str">
        <x:v>Rating</x:v>
      </x:c>
      <x:c r="B10" s="30" t="str">
        <x:v>How easy was VolleyReach to navigate?</x:v>
      </x:c>
      <x:c r="C10" s="30" t="str">
        <x:v>Linear scale</x:v>
      </x:c>
      <x:c r="D10" s="30" t="str">
        <x:v>1 = Very difficult; 5 = Very easy</x:v>
      </x:c>
      <x:c r="E10" s="32" t="str">
        <x:v>Yes</x:v>
      </x:c>
      <x:c r="F10" s="30" t="str">
        <x:v>Usability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36" customHeight="1">
      <x:c r="A11" s="31" t="str">
        <x:v>Rating</x:v>
      </x:c>
      <x:c r="B11" s="30" t="str">
        <x:v>How professional and trustworthy did VolleyReach look?</x:v>
      </x:c>
      <x:c r="C11" s="30" t="str">
        <x:v>Linear scale</x:v>
      </x:c>
      <x:c r="D11" s="30" t="str">
        <x:v>1 = Not at all; 5 = Very professional</x:v>
      </x:c>
      <x:c r="E11" s="32" t="str">
        <x:v>Yes</x:v>
      </x:c>
      <x:c r="F11" s="30" t="str">
        <x:v>Visual credibility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36" customHeight="1">
      <x:c r="A12" s="31" t="str">
        <x:v>Feature</x:v>
      </x:c>
      <x:c r="B12" s="30" t="str">
        <x:v>Which feature was most useful?</x:v>
      </x:c>
      <x:c r="C12" s="30" t="str">
        <x:v>Multiple choice</x:v>
      </x:c>
      <x:c r="D12" s="30" t="str">
        <x:v>My Profile; Find Schools; College Directory; Email Builder; Outreach Tracker; Jump Test</x:v>
      </x:c>
      <x:c r="E12" s="32" t="str">
        <x:v>Yes</x:v>
      </x:c>
      <x:c r="F12" s="30" t="str">
        <x:v>Feature priority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36" customHeight="1">
      <x:c r="A13" s="31" t="str">
        <x:v>Outcome</x:v>
      </x:c>
      <x:c r="B13" s="30" t="str">
        <x:v>After using VolleyReach, how confident would you feel contacting college coaches?</x:v>
      </x:c>
      <x:c r="C13" s="30" t="str">
        <x:v>Linear scale</x:v>
      </x:c>
      <x:c r="D13" s="30" t="str">
        <x:v>1 = Not confident; 5 = Very confident</x:v>
      </x:c>
      <x:c r="E13" s="32" t="str">
        <x:v>Yes</x:v>
      </x:c>
      <x:c r="F13" s="30" t="str">
        <x:v>User outcome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36" customHeight="1">
      <x:c r="A14" s="31" t="str">
        <x:v>Outcome</x:v>
      </x:c>
      <x:c r="B14" s="30" t="str">
        <x:v>How likely would you be to use VolleyReach weekly during recruiting?</x:v>
      </x:c>
      <x:c r="C14" s="30" t="str">
        <x:v>Linear scale</x:v>
      </x:c>
      <x:c r="D14" s="30" t="str">
        <x:v>1 = Very unlikely; 5 = Very likely</x:v>
      </x:c>
      <x:c r="E14" s="32" t="str">
        <x:v>Yes</x:v>
      </x:c>
      <x:c r="F14" s="30" t="str">
        <x:v>Retention signal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36" customHeight="1">
      <x:c r="A15" s="31" t="str">
        <x:v>Outcome</x:v>
      </x:c>
      <x:c r="B15" s="30" t="str">
        <x:v>How likely are you to recommend VolleyReach to another volleyball athlete?</x:v>
      </x:c>
      <x:c r="C15" s="30" t="str">
        <x:v>Linear scale</x:v>
      </x:c>
      <x:c r="D15" s="30" t="str">
        <x:v>0 = Not at all likely; 10 = Extremely likely</x:v>
      </x:c>
      <x:c r="E15" s="32" t="str">
        <x:v>Yes</x:v>
      </x:c>
      <x:c r="F15" s="30" t="str">
        <x:v>Recommendation signal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36" customHeight="1">
      <x:c r="A16" s="31" t="str">
        <x:v>Open response</x:v>
      </x:c>
      <x:c r="B16" s="30" t="str">
        <x:v>What, if anything, was confusing or difficult?</x:v>
      </x:c>
      <x:c r="C16" s="30" t="str">
        <x:v>Paragraph</x:v>
      </x:c>
      <x:c r="D16" s="30" t="str"/>
      <x:c r="E16" s="32" t="str">
        <x:v>No</x:v>
      </x:c>
      <x:c r="F16" s="30" t="str">
        <x:v>Finds usability problems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36" customHeight="1">
      <x:c r="A17" s="31" t="str">
        <x:v>Open response</x:v>
      </x:c>
      <x:c r="B17" s="30" t="str">
        <x:v>What is the one improvement that would make VolleyReach more useful?</x:v>
      </x:c>
      <x:c r="C17" s="30" t="str">
        <x:v>Paragraph</x:v>
      </x:c>
      <x:c r="D17" s="30" t="str"/>
      <x:c r="E17" s="32" t="str">
        <x:v>Yes</x:v>
      </x:c>
      <x:c r="F17" s="30" t="str">
        <x:v>Prioritizes iteration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36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36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36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</x:sheetData>
  <x:pageMargins left="0.7" right="0.7" top="0.75" bottom="0.75" header="0.3" footer="0.3"/>
</x:worksheet>
</file>